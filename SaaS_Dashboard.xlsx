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MRR_by_Month" sheetId="2" state="visible" r:id="rId4"/>
    <sheet name="Churn_by_Month" sheetId="3" state="visible" r:id="rId5"/>
    <sheet name="Plan_Summary" sheetId="4" state="visible" r:id="rId6"/>
    <sheet name="Channel_Revenue" sheetId="5" state="visible" r:id="rId7"/>
    <sheet name="LTV_by_Plan" sheetId="6" state="visible" r:id="rId8"/>
    <sheet name="At_Risk_Customer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<sst xmlns="http://schemas.openxmlformats.org/spreadsheetml/2006/main" count="120" uniqueCount="80">
  <si>
    <t xml:space="preserve">SaaS Business Dashboard</t>
  </si>
  <si>
    <t xml:space="preserve">Synthetic dataset · Jan 2024 - Dec 2025 · Source: notebook exports + SQL queries</t>
  </si>
  <si>
    <t xml:space="preserve">Current MRR</t>
  </si>
  <si>
    <t xml:space="preserve">Active Customers</t>
  </si>
  <si>
    <t xml:space="preserve">Avg Monthly Churn Rate</t>
  </si>
  <si>
    <t xml:space="preserve">Total Customers (Plan_Summary)</t>
  </si>
  <si>
    <t xml:space="preserve">MRR Trend</t>
  </si>
  <si>
    <t xml:space="preserve">Churn Rate Trend (%)</t>
  </si>
  <si>
    <t xml:space="preserve">Active MRR by Plan</t>
  </si>
  <si>
    <t xml:space="preserve">Revenue by Acquisition Channel</t>
  </si>
  <si>
    <t xml:space="preserve">Note: all figures are computed live from the data on the other tabs (MRR_by_Month, Churn_by_Month, Plan_Summary, Channel_Revenue, LTV_by_Plan, At_Risk_Customers). Edit those tabs and the KPIs/charts above recalculate.</t>
  </si>
  <si>
    <t xml:space="preserve">month</t>
  </si>
  <si>
    <t xml:space="preserve">mrr</t>
  </si>
  <si>
    <t xml:space="preserve">mom_growth_pct</t>
  </si>
  <si>
    <t xml:space="preserve">2024-01-01</t>
  </si>
  <si>
    <t xml:space="preserve">2024-02-01</t>
  </si>
  <si>
    <t xml:space="preserve">2024-03-01</t>
  </si>
  <si>
    <t xml:space="preserve">2024-04-01</t>
  </si>
  <si>
    <t xml:space="preserve">2024-05-01</t>
  </si>
  <si>
    <t xml:space="preserve">2024-06-01</t>
  </si>
  <si>
    <t xml:space="preserve">2024-07-01</t>
  </si>
  <si>
    <t xml:space="preserve">2024-08-01</t>
  </si>
  <si>
    <t xml:space="preserve">2024-09-01</t>
  </si>
  <si>
    <t xml:space="preserve">2024-10-01</t>
  </si>
  <si>
    <t xml:space="preserve">2024-11-01</t>
  </si>
  <si>
    <t xml:space="preserve">2024-12-01</t>
  </si>
  <si>
    <t xml:space="preserve">2025-01-01</t>
  </si>
  <si>
    <t xml:space="preserve">2025-02-01</t>
  </si>
  <si>
    <t xml:space="preserve">2025-03-01</t>
  </si>
  <si>
    <t xml:space="preserve">2025-04-01</t>
  </si>
  <si>
    <t xml:space="preserve">2025-05-01</t>
  </si>
  <si>
    <t xml:space="preserve">2025-06-01</t>
  </si>
  <si>
    <t xml:space="preserve">2025-07-01</t>
  </si>
  <si>
    <t xml:space="preserve">2025-08-01</t>
  </si>
  <si>
    <t xml:space="preserve">2025-09-01</t>
  </si>
  <si>
    <t xml:space="preserve">2025-10-01</t>
  </si>
  <si>
    <t xml:space="preserve">2025-11-01</t>
  </si>
  <si>
    <t xml:space="preserve">2025-12-01</t>
  </si>
  <si>
    <t xml:space="preserve">active_customers</t>
  </si>
  <si>
    <t xml:space="preserve">churned_customers</t>
  </si>
  <si>
    <t xml:space="preserve">churn_rate_pct</t>
  </si>
  <si>
    <t xml:space="preserve">plan</t>
  </si>
  <si>
    <t xml:space="preserve">total_subs</t>
  </si>
  <si>
    <t xml:space="preserve">active_now</t>
  </si>
  <si>
    <t xml:space="preserve">avg_mrr</t>
  </si>
  <si>
    <t xml:space="preserve">Enterprise</t>
  </si>
  <si>
    <t xml:space="preserve">Growth</t>
  </si>
  <si>
    <t xml:space="preserve">Starter</t>
  </si>
  <si>
    <t xml:space="preserve">acquisition_channel</t>
  </si>
  <si>
    <t xml:space="preserve">amount</t>
  </si>
  <si>
    <t xml:space="preserve">Paid Ads</t>
  </si>
  <si>
    <t xml:space="preserve">Partner</t>
  </si>
  <si>
    <t xml:space="preserve">Content Marketing</t>
  </si>
  <si>
    <t xml:space="preserve">Referral</t>
  </si>
  <si>
    <t xml:space="preserve">Organic Search</t>
  </si>
  <si>
    <t xml:space="preserve">Outbound Sales</t>
  </si>
  <si>
    <t xml:space="preserve">total</t>
  </si>
  <si>
    <t xml:space="preserve">churned</t>
  </si>
  <si>
    <t xml:space="preserve">churn_rate</t>
  </si>
  <si>
    <t xml:space="preserve">estimated_ltv</t>
  </si>
  <si>
    <t xml:space="preserve">customer_id</t>
  </si>
  <si>
    <t xml:space="preserve">company_name</t>
  </si>
  <si>
    <t xml:space="preserve">logins</t>
  </si>
  <si>
    <t xml:space="preserve">nps_score</t>
  </si>
  <si>
    <t xml:space="preserve">CUST0559</t>
  </si>
  <si>
    <t xml:space="preserve">Gross-Valencia</t>
  </si>
  <si>
    <t xml:space="preserve">CUST0094</t>
  </si>
  <si>
    <t xml:space="preserve">Newton and Sons</t>
  </si>
  <si>
    <t xml:space="preserve">CUST0124</t>
  </si>
  <si>
    <t xml:space="preserve">Joyce, Wilson and Lam</t>
  </si>
  <si>
    <t xml:space="preserve">CUST0101</t>
  </si>
  <si>
    <t xml:space="preserve">Figueroa PLC</t>
  </si>
  <si>
    <t xml:space="preserve">CUST0315</t>
  </si>
  <si>
    <t xml:space="preserve">Becker, Taylor and Davis</t>
  </si>
  <si>
    <t xml:space="preserve">CUST0383</t>
  </si>
  <si>
    <t xml:space="preserve">Austin, Day and Johnson</t>
  </si>
  <si>
    <t xml:space="preserve">CUST0481</t>
  </si>
  <si>
    <t xml:space="preserve">Brown-Copeland</t>
  </si>
  <si>
    <t xml:space="preserve">CUST0491</t>
  </si>
  <si>
    <t xml:space="preserve">Fuller, Ingram and Moss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</si>
</sst>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#,##0"/>
    <numFmt numFmtId="167" formatCode="0.00\%"/>
    <numFmt numFmtId="168" formatCode="0.0%"/>
    <numFmt numFmtId="169" formatCode="\$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20"/>
      <color rgb="FF1F4E78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878787"/>
      <rgbColor rgb="FF003366"/>
      <rgbColor rgb="FF4F81BD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MRR_by_Month!B1</c:f>
              <c:strCache>
                <c:ptCount val="1"/>
                <c:pt idx="0">
                  <c:v>mrr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MRR_by_Month!$A$2:$A$25</c:f>
              <c:strCache>
                <c:ptCount val="24"/>
                <c:pt idx="0">
                  <c:v>2024-01-01</c:v>
                </c:pt>
                <c:pt idx="1">
                  <c:v>2024-02-01</c:v>
                </c:pt>
                <c:pt idx="2">
                  <c:v>2024-03-01</c:v>
                </c:pt>
                <c:pt idx="3">
                  <c:v>2024-04-01</c:v>
                </c:pt>
                <c:pt idx="4">
                  <c:v>2024-05-01</c:v>
                </c:pt>
                <c:pt idx="5">
                  <c:v>2024-06-01</c:v>
                </c:pt>
                <c:pt idx="6">
                  <c:v>2024-07-01</c:v>
                </c:pt>
                <c:pt idx="7">
                  <c:v>2024-08-01</c:v>
                </c:pt>
                <c:pt idx="8">
                  <c:v>2024-09-01</c:v>
                </c:pt>
                <c:pt idx="9">
                  <c:v>2024-10-01</c:v>
                </c:pt>
                <c:pt idx="10">
                  <c:v>2024-11-01</c:v>
                </c:pt>
                <c:pt idx="11">
                  <c:v>2024-12-01</c:v>
                </c:pt>
                <c:pt idx="12">
                  <c:v>2025-01-01</c:v>
                </c:pt>
                <c:pt idx="13">
                  <c:v>2025-02-01</c:v>
                </c:pt>
                <c:pt idx="14">
                  <c:v>2025-03-01</c:v>
                </c:pt>
                <c:pt idx="15">
                  <c:v>2025-04-01</c:v>
                </c:pt>
                <c:pt idx="16">
                  <c:v>2025-05-01</c:v>
                </c:pt>
                <c:pt idx="17">
                  <c:v>2025-06-01</c:v>
                </c:pt>
                <c:pt idx="18">
                  <c:v>2025-07-01</c:v>
                </c:pt>
                <c:pt idx="19">
                  <c:v>2025-08-01</c:v>
                </c:pt>
                <c:pt idx="20">
                  <c:v>2025-09-01</c:v>
                </c:pt>
                <c:pt idx="21">
                  <c:v>2025-10-01</c:v>
                </c:pt>
                <c:pt idx="22">
                  <c:v>2025-11-01</c:v>
                </c:pt>
                <c:pt idx="23">
                  <c:v>2025-12-01</c:v>
                </c:pt>
              </c:strCache>
            </c:strRef>
          </c:cat>
          <c:val>
            <c:numRef>
              <c:f>MRR_by_Month!$B$2:$B$25</c:f>
              <c:numCache>
                <c:formatCode>\$#,##0</c:formatCode>
                <c:ptCount val="24"/>
                <c:pt idx="0">
                  <c:v>601</c:v>
                </c:pt>
                <c:pt idx="1">
                  <c:v>3479</c:v>
                </c:pt>
                <c:pt idx="2">
                  <c:v>5953</c:v>
                </c:pt>
                <c:pt idx="3">
                  <c:v>9601</c:v>
                </c:pt>
                <c:pt idx="4">
                  <c:v>12894</c:v>
                </c:pt>
                <c:pt idx="5">
                  <c:v>16895</c:v>
                </c:pt>
                <c:pt idx="6">
                  <c:v>21281</c:v>
                </c:pt>
                <c:pt idx="7">
                  <c:v>24993</c:v>
                </c:pt>
                <c:pt idx="8">
                  <c:v>29299</c:v>
                </c:pt>
                <c:pt idx="9">
                  <c:v>33314</c:v>
                </c:pt>
                <c:pt idx="10">
                  <c:v>38633</c:v>
                </c:pt>
                <c:pt idx="11">
                  <c:v>42134</c:v>
                </c:pt>
                <c:pt idx="12">
                  <c:v>44766</c:v>
                </c:pt>
                <c:pt idx="13">
                  <c:v>47741</c:v>
                </c:pt>
                <c:pt idx="14">
                  <c:v>50417</c:v>
                </c:pt>
                <c:pt idx="15">
                  <c:v>51915</c:v>
                </c:pt>
                <c:pt idx="16">
                  <c:v>55287</c:v>
                </c:pt>
                <c:pt idx="17">
                  <c:v>56175</c:v>
                </c:pt>
                <c:pt idx="18">
                  <c:v>56599</c:v>
                </c:pt>
                <c:pt idx="19">
                  <c:v>56463</c:v>
                </c:pt>
                <c:pt idx="20">
                  <c:v>56713</c:v>
                </c:pt>
                <c:pt idx="21">
                  <c:v>57409</c:v>
                </c:pt>
                <c:pt idx="22">
                  <c:v>56768</c:v>
                </c:pt>
                <c:pt idx="23">
                  <c:v>55352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3108648"/>
        <c:axId val="15417821"/>
      </c:lineChart>
      <c:catAx>
        <c:axId val="1310864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417821"/>
        <c:crosses val="autoZero"/>
        <c:auto val="1"/>
        <c:lblAlgn val="ctr"/>
        <c:lblOffset val="100"/>
        <c:noMultiLvlLbl val="0"/>
      </c:catAx>
      <c:valAx>
        <c:axId val="154178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MRR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1086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Churn_by_Month!D1</c:f>
              <c:strCache>
                <c:ptCount val="1"/>
                <c:pt idx="0">
                  <c:v>churn_rate_pct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Churn_by_Month!$A$2:$A$25</c:f>
              <c:strCache>
                <c:ptCount val="24"/>
                <c:pt idx="0">
                  <c:v>2024-01-01</c:v>
                </c:pt>
                <c:pt idx="1">
                  <c:v>2024-02-01</c:v>
                </c:pt>
                <c:pt idx="2">
                  <c:v>2024-03-01</c:v>
                </c:pt>
                <c:pt idx="3">
                  <c:v>2024-04-01</c:v>
                </c:pt>
                <c:pt idx="4">
                  <c:v>2024-05-01</c:v>
                </c:pt>
                <c:pt idx="5">
                  <c:v>2024-06-01</c:v>
                </c:pt>
                <c:pt idx="6">
                  <c:v>2024-07-01</c:v>
                </c:pt>
                <c:pt idx="7">
                  <c:v>2024-08-01</c:v>
                </c:pt>
                <c:pt idx="8">
                  <c:v>2024-09-01</c:v>
                </c:pt>
                <c:pt idx="9">
                  <c:v>2024-10-01</c:v>
                </c:pt>
                <c:pt idx="10">
                  <c:v>2024-11-01</c:v>
                </c:pt>
                <c:pt idx="11">
                  <c:v>2024-12-01</c:v>
                </c:pt>
                <c:pt idx="12">
                  <c:v>2025-01-01</c:v>
                </c:pt>
                <c:pt idx="13">
                  <c:v>2025-02-01</c:v>
                </c:pt>
                <c:pt idx="14">
                  <c:v>2025-03-01</c:v>
                </c:pt>
                <c:pt idx="15">
                  <c:v>2025-04-01</c:v>
                </c:pt>
                <c:pt idx="16">
                  <c:v>2025-05-01</c:v>
                </c:pt>
                <c:pt idx="17">
                  <c:v>2025-06-01</c:v>
                </c:pt>
                <c:pt idx="18">
                  <c:v>2025-07-01</c:v>
                </c:pt>
                <c:pt idx="19">
                  <c:v>2025-08-01</c:v>
                </c:pt>
                <c:pt idx="20">
                  <c:v>2025-09-01</c:v>
                </c:pt>
                <c:pt idx="21">
                  <c:v>2025-10-01</c:v>
                </c:pt>
                <c:pt idx="22">
                  <c:v>2025-11-01</c:v>
                </c:pt>
                <c:pt idx="23">
                  <c:v>2025-12-01</c:v>
                </c:pt>
              </c:strCache>
            </c:strRef>
          </c:cat>
          <c:val>
            <c:numRef>
              <c:f>Churn_by_Month!$D$2:$D$25</c:f>
              <c:numCache>
                <c:formatCode>0.00\%</c:formatCode>
                <c:ptCount val="24"/>
                <c:pt idx="0">
                  <c:v>0</c:v>
                </c:pt>
                <c:pt idx="1">
                  <c:v>3.23</c:v>
                </c:pt>
                <c:pt idx="2">
                  <c:v>0</c:v>
                </c:pt>
                <c:pt idx="3">
                  <c:v>3.37</c:v>
                </c:pt>
                <c:pt idx="4">
                  <c:v>1.69</c:v>
                </c:pt>
                <c:pt idx="5">
                  <c:v>1.89</c:v>
                </c:pt>
                <c:pt idx="6">
                  <c:v>1.55</c:v>
                </c:pt>
                <c:pt idx="7">
                  <c:v>4.31</c:v>
                </c:pt>
                <c:pt idx="8">
                  <c:v>1.88</c:v>
                </c:pt>
                <c:pt idx="9">
                  <c:v>3.95</c:v>
                </c:pt>
                <c:pt idx="10">
                  <c:v>2.7</c:v>
                </c:pt>
                <c:pt idx="11">
                  <c:v>3.28</c:v>
                </c:pt>
                <c:pt idx="12">
                  <c:v>4.71</c:v>
                </c:pt>
                <c:pt idx="13">
                  <c:v>2.28</c:v>
                </c:pt>
                <c:pt idx="14">
                  <c:v>1.67</c:v>
                </c:pt>
                <c:pt idx="15">
                  <c:v>1.84</c:v>
                </c:pt>
                <c:pt idx="16">
                  <c:v>4.68</c:v>
                </c:pt>
                <c:pt idx="17">
                  <c:v>4.06</c:v>
                </c:pt>
                <c:pt idx="18">
                  <c:v>2.5</c:v>
                </c:pt>
                <c:pt idx="19">
                  <c:v>3.64</c:v>
                </c:pt>
                <c:pt idx="20">
                  <c:v>3.51</c:v>
                </c:pt>
                <c:pt idx="21">
                  <c:v>4.33</c:v>
                </c:pt>
                <c:pt idx="22">
                  <c:v>3.26</c:v>
                </c:pt>
                <c:pt idx="23">
                  <c:v>2.33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5127669"/>
        <c:axId val="3858847"/>
      </c:lineChart>
      <c:catAx>
        <c:axId val="651276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58847"/>
        <c:crosses val="autoZero"/>
        <c:auto val="1"/>
        <c:lblAlgn val="ctr"/>
        <c:lblOffset val="100"/>
        <c:noMultiLvlLbl val="0"/>
      </c:catAx>
      <c:valAx>
        <c:axId val="38588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Churn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1276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Plan_Summary!D1</c:f>
              <c:strCache>
                <c:ptCount val="1"/>
                <c:pt idx="0">
                  <c:v>avg_mrr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Plan_Summary!$A$2:$A$4</c:f>
              <c:strCache>
                <c:ptCount val="3"/>
                <c:pt idx="0">
                  <c:v>Enterprise</c:v>
                </c:pt>
                <c:pt idx="1">
                  <c:v>Growth</c:v>
                </c:pt>
                <c:pt idx="2">
                  <c:v>Starter</c:v>
                </c:pt>
              </c:strCache>
            </c:strRef>
          </c:cat>
          <c:val>
            <c:numRef>
              <c:f>Plan_Summary!$D$2:$D$4</c:f>
              <c:numCache>
                <c:formatCode>\$#,##0.00</c:formatCode>
                <c:ptCount val="3"/>
                <c:pt idx="0">
                  <c:v>299</c:v>
                </c:pt>
                <c:pt idx="1">
                  <c:v>99</c:v>
                </c:pt>
                <c:pt idx="2">
                  <c:v>29</c:v>
                </c:pt>
              </c:numCache>
            </c:numRef>
          </c:val>
        </c:ser>
        <c:gapWidth val="150"/>
        <c:overlap val="0"/>
        <c:axId val="29505635"/>
        <c:axId val="2271918"/>
      </c:barChart>
      <c:catAx>
        <c:axId val="295056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71918"/>
        <c:crosses val="autoZero"/>
        <c:auto val="1"/>
        <c:lblAlgn val="ctr"/>
        <c:lblOffset val="100"/>
        <c:noMultiLvlLbl val="0"/>
      </c:catAx>
      <c:valAx>
        <c:axId val="22719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MRR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5056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Channel_Revenue!B1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Channel_Revenue!$A$2:$A$7</c:f>
              <c:strCache>
                <c:ptCount val="6"/>
                <c:pt idx="0">
                  <c:v>Paid Ads</c:v>
                </c:pt>
                <c:pt idx="1">
                  <c:v>Partner</c:v>
                </c:pt>
                <c:pt idx="2">
                  <c:v>Content Marketing</c:v>
                </c:pt>
                <c:pt idx="3">
                  <c:v>Referral</c:v>
                </c:pt>
                <c:pt idx="4">
                  <c:v>Organic Search</c:v>
                </c:pt>
                <c:pt idx="5">
                  <c:v>Outbound Sales</c:v>
                </c:pt>
              </c:strCache>
            </c:strRef>
          </c:cat>
          <c:val>
            <c:numRef>
              <c:f>Channel_Revenue!$B$2:$B$7</c:f>
              <c:numCache>
                <c:formatCode>\$#,##0</c:formatCode>
                <c:ptCount val="6"/>
                <c:pt idx="0">
                  <c:v>175365</c:v>
                </c:pt>
                <c:pt idx="1">
                  <c:v>161129</c:v>
                </c:pt>
                <c:pt idx="2">
                  <c:v>158347</c:v>
                </c:pt>
                <c:pt idx="3">
                  <c:v>142760</c:v>
                </c:pt>
                <c:pt idx="4">
                  <c:v>136147</c:v>
                </c:pt>
                <c:pt idx="5">
                  <c:v>110934</c:v>
                </c:pt>
              </c:numCache>
            </c:numRef>
          </c:val>
        </c:ser>
        <c:gapWidth val="150"/>
        <c:overlap val="0"/>
        <c:axId val="8398006"/>
        <c:axId val="14530796"/>
      </c:barChart>
      <c:catAx>
        <c:axId val="83980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530796"/>
        <c:crosses val="autoZero"/>
        <c:auto val="1"/>
        <c:lblAlgn val="ctr"/>
        <c:lblOffset val="100"/>
        <c:noMultiLvlLbl val="0"/>
      </c:catAx>
      <c:valAx>
        <c:axId val="145307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980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10800</xdr:rowOff>
    </xdr:from>
    <xdr:to>
      <xdr:col>4</xdr:col>
      <xdr:colOff>1107360</xdr:colOff>
      <xdr:row>23</xdr:row>
      <xdr:rowOff>33120</xdr:rowOff>
    </xdr:to>
    <xdr:graphicFrame>
      <xdr:nvGraphicFramePr>
        <xdr:cNvPr id="0" name="Chart 1"/>
        <xdr:cNvGraphicFramePr/>
      </xdr:nvGraphicFramePr>
      <xdr:xfrm>
        <a:off x="211320" y="1714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8</xdr:row>
      <xdr:rowOff>10800</xdr:rowOff>
    </xdr:from>
    <xdr:to>
      <xdr:col>18</xdr:col>
      <xdr:colOff>255960</xdr:colOff>
      <xdr:row>23</xdr:row>
      <xdr:rowOff>33120</xdr:rowOff>
    </xdr:to>
    <xdr:graphicFrame>
      <xdr:nvGraphicFramePr>
        <xdr:cNvPr id="1" name="Chart 2"/>
        <xdr:cNvGraphicFramePr/>
      </xdr:nvGraphicFramePr>
      <xdr:xfrm>
        <a:off x="11677680" y="1714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27</xdr:row>
      <xdr:rowOff>10800</xdr:rowOff>
    </xdr:from>
    <xdr:to>
      <xdr:col>4</xdr:col>
      <xdr:colOff>1107360</xdr:colOff>
      <xdr:row>42</xdr:row>
      <xdr:rowOff>33120</xdr:rowOff>
    </xdr:to>
    <xdr:graphicFrame>
      <xdr:nvGraphicFramePr>
        <xdr:cNvPr id="2" name="Chart 3"/>
        <xdr:cNvGraphicFramePr/>
      </xdr:nvGraphicFramePr>
      <xdr:xfrm>
        <a:off x="211320" y="53341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27</xdr:row>
      <xdr:rowOff>10800</xdr:rowOff>
    </xdr:from>
    <xdr:to>
      <xdr:col>18</xdr:col>
      <xdr:colOff>255960</xdr:colOff>
      <xdr:row>42</xdr:row>
      <xdr:rowOff>33120</xdr:rowOff>
    </xdr:to>
    <xdr:graphicFrame>
      <xdr:nvGraphicFramePr>
        <xdr:cNvPr id="3" name="Chart 4"/>
        <xdr:cNvGraphicFramePr/>
      </xdr:nvGraphicFramePr>
      <xdr:xfrm>
        <a:off x="11677680" y="53341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8" min="2" style="0" width="22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3"/>
      <c r="D5" s="3" t="s">
        <v>3</v>
      </c>
      <c r="E5" s="3"/>
      <c r="F5" s="3" t="s">
        <v>4</v>
      </c>
      <c r="G5" s="3"/>
      <c r="H5" s="3" t="s">
        <v>5</v>
      </c>
      <c r="I5" s="3"/>
    </row>
    <row r="6" customFormat="false" ht="24.45" hidden="false" customHeight="false" outlineLevel="0" collapsed="false">
      <c r="B6" s="4" t="n">
        <f aca="false">MRR_by_Month!B25</f>
        <v>55352</v>
      </c>
      <c r="C6" s="4"/>
      <c r="D6" s="5" t="n">
        <f aca="false">Churn_by_Month!B25</f>
        <v>386</v>
      </c>
      <c r="E6" s="5"/>
      <c r="F6" s="6" t="n">
        <f aca="false">AVERAGE(Churn_by_Month!D2:D25)</f>
        <v>2.7775</v>
      </c>
      <c r="G6" s="6"/>
      <c r="H6" s="5" t="n">
        <f aca="false">SUM(Plan_Summary!B2:B4)</f>
        <v>600</v>
      </c>
      <c r="I6" s="5"/>
    </row>
    <row r="9" customFormat="false" ht="15" hidden="false" customHeight="false" outlineLevel="0" collapsed="false">
      <c r="B9" s="7" t="s">
        <v>6</v>
      </c>
      <c r="J9" s="7" t="s">
        <v>7</v>
      </c>
    </row>
    <row r="28" customFormat="false" ht="15" hidden="false" customHeight="false" outlineLevel="0" collapsed="false">
      <c r="B28" s="7" t="s">
        <v>8</v>
      </c>
      <c r="J28" s="7" t="s">
        <v>9</v>
      </c>
    </row>
    <row r="48" customFormat="false" ht="15" hidden="false" customHeight="false" outlineLevel="0" collapsed="false">
      <c r="B48" s="8" t="s">
        <v>10</v>
      </c>
      <c r="C48" s="8"/>
      <c r="D48" s="8"/>
      <c r="E48" s="8"/>
      <c r="F48" s="8"/>
      <c r="G48" s="8"/>
      <c r="H48" s="8"/>
      <c r="I48" s="8"/>
    </row>
  </sheetData>
  <mergeCells count="9">
    <mergeCell ref="B5:C5"/>
    <mergeCell ref="D5:E5"/>
    <mergeCell ref="F5:G5"/>
    <mergeCell ref="H5:I5"/>
    <mergeCell ref="B6:C6"/>
    <mergeCell ref="D6:E6"/>
    <mergeCell ref="F6:G6"/>
    <mergeCell ref="H6:I6"/>
    <mergeCell ref="B48:I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6"/>
  </cols>
  <sheetData>
    <row r="1" customFormat="false" ht="15" hidden="false" customHeight="false" outlineLevel="0" collapsed="false">
      <c r="A1" s="9" t="s">
        <v>11</v>
      </c>
      <c r="B1" s="9" t="s">
        <v>12</v>
      </c>
      <c r="C1" s="9" t="s">
        <v>13</v>
      </c>
    </row>
    <row r="2" customFormat="false" ht="15" hidden="false" customHeight="false" outlineLevel="0" collapsed="false">
      <c r="A2" s="10" t="s">
        <v>14</v>
      </c>
      <c r="B2" s="11" t="n">
        <v>601</v>
      </c>
      <c r="C2" s="12"/>
    </row>
    <row r="3" customFormat="false" ht="15" hidden="false" customHeight="false" outlineLevel="0" collapsed="false">
      <c r="A3" s="10" t="s">
        <v>15</v>
      </c>
      <c r="B3" s="11" t="n">
        <v>3479</v>
      </c>
      <c r="C3" s="12" t="n">
        <f aca="false">IFERROR((B3-B2)/B2,"")</f>
        <v>4.78868552412646</v>
      </c>
    </row>
    <row r="4" customFormat="false" ht="15" hidden="false" customHeight="false" outlineLevel="0" collapsed="false">
      <c r="A4" s="10" t="s">
        <v>16</v>
      </c>
      <c r="B4" s="11" t="n">
        <v>5953</v>
      </c>
      <c r="C4" s="12" t="n">
        <f aca="false">IFERROR((B4-B3)/B3,"")</f>
        <v>0.711123886174188</v>
      </c>
    </row>
    <row r="5" customFormat="false" ht="15" hidden="false" customHeight="false" outlineLevel="0" collapsed="false">
      <c r="A5" s="10" t="s">
        <v>17</v>
      </c>
      <c r="B5" s="11" t="n">
        <v>9601</v>
      </c>
      <c r="C5" s="12" t="n">
        <f aca="false">IFERROR((B5-B4)/B4,"")</f>
        <v>0.612800268772048</v>
      </c>
    </row>
    <row r="6" customFormat="false" ht="15" hidden="false" customHeight="false" outlineLevel="0" collapsed="false">
      <c r="A6" s="10" t="s">
        <v>18</v>
      </c>
      <c r="B6" s="11" t="n">
        <v>12894</v>
      </c>
      <c r="C6" s="12" t="n">
        <f aca="false">IFERROR((B6-B5)/B5,"")</f>
        <v>0.342985105718154</v>
      </c>
    </row>
    <row r="7" customFormat="false" ht="15" hidden="false" customHeight="false" outlineLevel="0" collapsed="false">
      <c r="A7" s="10" t="s">
        <v>19</v>
      </c>
      <c r="B7" s="11" t="n">
        <v>16895</v>
      </c>
      <c r="C7" s="12" t="n">
        <f aca="false">IFERROR((B7-B6)/B6,"")</f>
        <v>0.310299364045292</v>
      </c>
    </row>
    <row r="8" customFormat="false" ht="15" hidden="false" customHeight="false" outlineLevel="0" collapsed="false">
      <c r="A8" s="10" t="s">
        <v>20</v>
      </c>
      <c r="B8" s="11" t="n">
        <v>21281</v>
      </c>
      <c r="C8" s="12" t="n">
        <f aca="false">IFERROR((B8-B7)/B7,"")</f>
        <v>0.259603432968334</v>
      </c>
    </row>
    <row r="9" customFormat="false" ht="15" hidden="false" customHeight="false" outlineLevel="0" collapsed="false">
      <c r="A9" s="10" t="s">
        <v>21</v>
      </c>
      <c r="B9" s="11" t="n">
        <v>24993</v>
      </c>
      <c r="C9" s="12" t="n">
        <f aca="false">IFERROR((B9-B8)/B8,"")</f>
        <v>0.174427893426061</v>
      </c>
    </row>
    <row r="10" customFormat="false" ht="15" hidden="false" customHeight="false" outlineLevel="0" collapsed="false">
      <c r="A10" s="10" t="s">
        <v>22</v>
      </c>
      <c r="B10" s="11" t="n">
        <v>29299</v>
      </c>
      <c r="C10" s="12" t="n">
        <f aca="false">IFERROR((B10-B9)/B9,"")</f>
        <v>0.172288240707398</v>
      </c>
    </row>
    <row r="11" customFormat="false" ht="15" hidden="false" customHeight="false" outlineLevel="0" collapsed="false">
      <c r="A11" s="10" t="s">
        <v>23</v>
      </c>
      <c r="B11" s="11" t="n">
        <v>33314</v>
      </c>
      <c r="C11" s="12" t="n">
        <f aca="false">IFERROR((B11-B10)/B10,"")</f>
        <v>0.137035393699444</v>
      </c>
    </row>
    <row r="12" customFormat="false" ht="15" hidden="false" customHeight="false" outlineLevel="0" collapsed="false">
      <c r="A12" s="10" t="s">
        <v>24</v>
      </c>
      <c r="B12" s="11" t="n">
        <v>38633</v>
      </c>
      <c r="C12" s="12" t="n">
        <f aca="false">IFERROR((B12-B11)/B11,"")</f>
        <v>0.1596626043105</v>
      </c>
    </row>
    <row r="13" customFormat="false" ht="15" hidden="false" customHeight="false" outlineLevel="0" collapsed="false">
      <c r="A13" s="10" t="s">
        <v>25</v>
      </c>
      <c r="B13" s="11" t="n">
        <v>42134</v>
      </c>
      <c r="C13" s="12" t="n">
        <f aca="false">IFERROR((B13-B12)/B12,"")</f>
        <v>0.0906220070923822</v>
      </c>
    </row>
    <row r="14" customFormat="false" ht="15" hidden="false" customHeight="false" outlineLevel="0" collapsed="false">
      <c r="A14" s="10" t="s">
        <v>26</v>
      </c>
      <c r="B14" s="11" t="n">
        <v>44766</v>
      </c>
      <c r="C14" s="12" t="n">
        <f aca="false">IFERROR((B14-B13)/B13,"")</f>
        <v>0.0624673660226895</v>
      </c>
    </row>
    <row r="15" customFormat="false" ht="15" hidden="false" customHeight="false" outlineLevel="0" collapsed="false">
      <c r="A15" s="10" t="s">
        <v>27</v>
      </c>
      <c r="B15" s="11" t="n">
        <v>47741</v>
      </c>
      <c r="C15" s="12" t="n">
        <f aca="false">IFERROR((B15-B14)/B14,"")</f>
        <v>0.066456685877675</v>
      </c>
    </row>
    <row r="16" customFormat="false" ht="15" hidden="false" customHeight="false" outlineLevel="0" collapsed="false">
      <c r="A16" s="10" t="s">
        <v>28</v>
      </c>
      <c r="B16" s="11" t="n">
        <v>50417</v>
      </c>
      <c r="C16" s="12" t="n">
        <f aca="false">IFERROR((B16-B15)/B15,"")</f>
        <v>0.0560524496763788</v>
      </c>
    </row>
    <row r="17" customFormat="false" ht="15" hidden="false" customHeight="false" outlineLevel="0" collapsed="false">
      <c r="A17" s="10" t="s">
        <v>29</v>
      </c>
      <c r="B17" s="11" t="n">
        <v>51915</v>
      </c>
      <c r="C17" s="12" t="n">
        <f aca="false">IFERROR((B17-B16)/B16,"")</f>
        <v>0.0297122002499157</v>
      </c>
    </row>
    <row r="18" customFormat="false" ht="15" hidden="false" customHeight="false" outlineLevel="0" collapsed="false">
      <c r="A18" s="10" t="s">
        <v>30</v>
      </c>
      <c r="B18" s="11" t="n">
        <v>55287</v>
      </c>
      <c r="C18" s="12" t="n">
        <f aca="false">IFERROR((B18-B17)/B17,"")</f>
        <v>0.0649523259173649</v>
      </c>
    </row>
    <row r="19" customFormat="false" ht="15" hidden="false" customHeight="false" outlineLevel="0" collapsed="false">
      <c r="A19" s="10" t="s">
        <v>31</v>
      </c>
      <c r="B19" s="11" t="n">
        <v>56175</v>
      </c>
      <c r="C19" s="12" t="n">
        <f aca="false">IFERROR((B19-B18)/B18,"")</f>
        <v>0.0160616419773184</v>
      </c>
    </row>
    <row r="20" customFormat="false" ht="15" hidden="false" customHeight="false" outlineLevel="0" collapsed="false">
      <c r="A20" s="10" t="s">
        <v>32</v>
      </c>
      <c r="B20" s="11" t="n">
        <v>56599</v>
      </c>
      <c r="C20" s="12" t="n">
        <f aca="false">IFERROR((B20-B19)/B19,"")</f>
        <v>0.00754784156653316</v>
      </c>
    </row>
    <row r="21" customFormat="false" ht="15" hidden="false" customHeight="false" outlineLevel="0" collapsed="false">
      <c r="A21" s="10" t="s">
        <v>33</v>
      </c>
      <c r="B21" s="11" t="n">
        <v>56463</v>
      </c>
      <c r="C21" s="12" t="n">
        <f aca="false">IFERROR((B21-B20)/B20,"")</f>
        <v>-0.00240286930864503</v>
      </c>
    </row>
    <row r="22" customFormat="false" ht="15" hidden="false" customHeight="false" outlineLevel="0" collapsed="false">
      <c r="A22" s="10" t="s">
        <v>34</v>
      </c>
      <c r="B22" s="11" t="n">
        <v>56713</v>
      </c>
      <c r="C22" s="12" t="n">
        <f aca="false">IFERROR((B22-B21)/B21,"")</f>
        <v>0.00442767830260525</v>
      </c>
    </row>
    <row r="23" customFormat="false" ht="15" hidden="false" customHeight="false" outlineLevel="0" collapsed="false">
      <c r="A23" s="10" t="s">
        <v>35</v>
      </c>
      <c r="B23" s="11" t="n">
        <v>57409</v>
      </c>
      <c r="C23" s="12" t="n">
        <f aca="false">IFERROR((B23-B22)/B22,"")</f>
        <v>0.0122723185160369</v>
      </c>
    </row>
    <row r="24" customFormat="false" ht="15" hidden="false" customHeight="false" outlineLevel="0" collapsed="false">
      <c r="A24" s="10" t="s">
        <v>36</v>
      </c>
      <c r="B24" s="11" t="n">
        <v>56768</v>
      </c>
      <c r="C24" s="12" t="n">
        <f aca="false">IFERROR((B24-B23)/B23,"")</f>
        <v>-0.0111654966991238</v>
      </c>
    </row>
    <row r="25" customFormat="false" ht="15" hidden="false" customHeight="false" outlineLevel="0" collapsed="false">
      <c r="A25" s="10" t="s">
        <v>37</v>
      </c>
      <c r="B25" s="11" t="n">
        <v>55352</v>
      </c>
      <c r="C25" s="12" t="n">
        <f aca="false">IFERROR((B25-B24)/B24,"")</f>
        <v>-0.0249436302142052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6"/>
  </cols>
  <sheetData>
    <row r="1" customFormat="false" ht="15" hidden="false" customHeight="false" outlineLevel="0" collapsed="false">
      <c r="A1" s="9" t="s">
        <v>11</v>
      </c>
      <c r="B1" s="9" t="s">
        <v>38</v>
      </c>
      <c r="C1" s="9" t="s">
        <v>39</v>
      </c>
      <c r="D1" s="9" t="s">
        <v>40</v>
      </c>
    </row>
    <row r="2" customFormat="false" ht="15" hidden="false" customHeight="false" outlineLevel="0" collapsed="false">
      <c r="A2" s="10" t="s">
        <v>14</v>
      </c>
      <c r="B2" s="10" t="n">
        <v>10</v>
      </c>
      <c r="C2" s="10" t="n">
        <v>0</v>
      </c>
      <c r="D2" s="13" t="n">
        <v>0</v>
      </c>
    </row>
    <row r="3" customFormat="false" ht="15" hidden="false" customHeight="false" outlineLevel="0" collapsed="false">
      <c r="A3" s="10" t="s">
        <v>15</v>
      </c>
      <c r="B3" s="10" t="n">
        <v>31</v>
      </c>
      <c r="C3" s="10" t="n">
        <v>1</v>
      </c>
      <c r="D3" s="13" t="n">
        <v>3.23</v>
      </c>
    </row>
    <row r="4" customFormat="false" ht="15" hidden="false" customHeight="false" outlineLevel="0" collapsed="false">
      <c r="A4" s="10" t="s">
        <v>16</v>
      </c>
      <c r="B4" s="10" t="n">
        <v>59</v>
      </c>
      <c r="C4" s="10" t="n">
        <v>0</v>
      </c>
      <c r="D4" s="13" t="n">
        <v>0</v>
      </c>
    </row>
    <row r="5" customFormat="false" ht="15" hidden="false" customHeight="false" outlineLevel="0" collapsed="false">
      <c r="A5" s="10" t="s">
        <v>17</v>
      </c>
      <c r="B5" s="10" t="n">
        <v>89</v>
      </c>
      <c r="C5" s="10" t="n">
        <v>3</v>
      </c>
      <c r="D5" s="13" t="n">
        <v>3.37</v>
      </c>
    </row>
    <row r="6" customFormat="false" ht="15" hidden="false" customHeight="false" outlineLevel="0" collapsed="false">
      <c r="A6" s="10" t="s">
        <v>18</v>
      </c>
      <c r="B6" s="10" t="n">
        <v>118</v>
      </c>
      <c r="C6" s="10" t="n">
        <v>2</v>
      </c>
      <c r="D6" s="13" t="n">
        <v>1.69</v>
      </c>
    </row>
    <row r="7" customFormat="false" ht="15" hidden="false" customHeight="false" outlineLevel="0" collapsed="false">
      <c r="A7" s="10" t="s">
        <v>19</v>
      </c>
      <c r="B7" s="10" t="n">
        <v>159</v>
      </c>
      <c r="C7" s="10" t="n">
        <v>3</v>
      </c>
      <c r="D7" s="13" t="n">
        <v>1.89</v>
      </c>
    </row>
    <row r="8" customFormat="false" ht="15" hidden="false" customHeight="false" outlineLevel="0" collapsed="false">
      <c r="A8" s="10" t="s">
        <v>20</v>
      </c>
      <c r="B8" s="10" t="n">
        <v>193</v>
      </c>
      <c r="C8" s="10" t="n">
        <v>3</v>
      </c>
      <c r="D8" s="13" t="n">
        <v>1.55</v>
      </c>
    </row>
    <row r="9" customFormat="false" ht="15" hidden="false" customHeight="false" outlineLevel="0" collapsed="false">
      <c r="A9" s="10" t="s">
        <v>21</v>
      </c>
      <c r="B9" s="10" t="n">
        <v>232</v>
      </c>
      <c r="C9" s="10" t="n">
        <v>10</v>
      </c>
      <c r="D9" s="13" t="n">
        <v>4.31</v>
      </c>
    </row>
    <row r="10" customFormat="false" ht="15" hidden="false" customHeight="false" outlineLevel="0" collapsed="false">
      <c r="A10" s="10" t="s">
        <v>22</v>
      </c>
      <c r="B10" s="10" t="n">
        <v>266</v>
      </c>
      <c r="C10" s="10" t="n">
        <v>5</v>
      </c>
      <c r="D10" s="13" t="n">
        <v>1.88</v>
      </c>
    </row>
    <row r="11" customFormat="false" ht="15" hidden="false" customHeight="false" outlineLevel="0" collapsed="false">
      <c r="A11" s="10" t="s">
        <v>23</v>
      </c>
      <c r="B11" s="10" t="n">
        <v>304</v>
      </c>
      <c r="C11" s="10" t="n">
        <v>12</v>
      </c>
      <c r="D11" s="13" t="n">
        <v>3.95</v>
      </c>
    </row>
    <row r="12" customFormat="false" ht="15" hidden="false" customHeight="false" outlineLevel="0" collapsed="false">
      <c r="A12" s="10" t="s">
        <v>24</v>
      </c>
      <c r="B12" s="10" t="n">
        <v>333</v>
      </c>
      <c r="C12" s="10" t="n">
        <v>9</v>
      </c>
      <c r="D12" s="13" t="n">
        <v>2.7</v>
      </c>
    </row>
    <row r="13" customFormat="false" ht="15" hidden="false" customHeight="false" outlineLevel="0" collapsed="false">
      <c r="A13" s="10" t="s">
        <v>25</v>
      </c>
      <c r="B13" s="10" t="n">
        <v>366</v>
      </c>
      <c r="C13" s="10" t="n">
        <v>12</v>
      </c>
      <c r="D13" s="13" t="n">
        <v>3.28</v>
      </c>
    </row>
    <row r="14" customFormat="false" ht="15" hidden="false" customHeight="false" outlineLevel="0" collapsed="false">
      <c r="A14" s="10" t="s">
        <v>26</v>
      </c>
      <c r="B14" s="10" t="n">
        <v>382</v>
      </c>
      <c r="C14" s="10" t="n">
        <v>18</v>
      </c>
      <c r="D14" s="13" t="n">
        <v>4.71</v>
      </c>
    </row>
    <row r="15" customFormat="false" ht="15" hidden="false" customHeight="false" outlineLevel="0" collapsed="false">
      <c r="A15" s="10" t="s">
        <v>27</v>
      </c>
      <c r="B15" s="10" t="n">
        <v>395</v>
      </c>
      <c r="C15" s="10" t="n">
        <v>9</v>
      </c>
      <c r="D15" s="13" t="n">
        <v>2.28</v>
      </c>
    </row>
    <row r="16" customFormat="false" ht="15" hidden="false" customHeight="false" outlineLevel="0" collapsed="false">
      <c r="A16" s="10" t="s">
        <v>28</v>
      </c>
      <c r="B16" s="10" t="n">
        <v>420</v>
      </c>
      <c r="C16" s="10" t="n">
        <v>7</v>
      </c>
      <c r="D16" s="13" t="n">
        <v>1.67</v>
      </c>
    </row>
    <row r="17" customFormat="false" ht="15" hidden="false" customHeight="false" outlineLevel="0" collapsed="false">
      <c r="A17" s="10" t="s">
        <v>29</v>
      </c>
      <c r="B17" s="10" t="n">
        <v>435</v>
      </c>
      <c r="C17" s="10" t="n">
        <v>8</v>
      </c>
      <c r="D17" s="13" t="n">
        <v>1.84</v>
      </c>
    </row>
    <row r="18" customFormat="false" ht="15" hidden="false" customHeight="false" outlineLevel="0" collapsed="false">
      <c r="A18" s="10" t="s">
        <v>30</v>
      </c>
      <c r="B18" s="10" t="n">
        <v>449</v>
      </c>
      <c r="C18" s="10" t="n">
        <v>21</v>
      </c>
      <c r="D18" s="13" t="n">
        <v>4.68</v>
      </c>
    </row>
    <row r="19" customFormat="false" ht="15" hidden="false" customHeight="false" outlineLevel="0" collapsed="false">
      <c r="A19" s="10" t="s">
        <v>31</v>
      </c>
      <c r="B19" s="10" t="n">
        <v>443</v>
      </c>
      <c r="C19" s="10" t="n">
        <v>18</v>
      </c>
      <c r="D19" s="13" t="n">
        <v>4.06</v>
      </c>
    </row>
    <row r="20" customFormat="false" ht="15" hidden="false" customHeight="false" outlineLevel="0" collapsed="false">
      <c r="A20" s="10" t="s">
        <v>32</v>
      </c>
      <c r="B20" s="10" t="n">
        <v>440</v>
      </c>
      <c r="C20" s="10" t="n">
        <v>11</v>
      </c>
      <c r="D20" s="13" t="n">
        <v>2.5</v>
      </c>
    </row>
    <row r="21" customFormat="false" ht="15" hidden="false" customHeight="false" outlineLevel="0" collapsed="false">
      <c r="A21" s="10" t="s">
        <v>33</v>
      </c>
      <c r="B21" s="10" t="n">
        <v>439</v>
      </c>
      <c r="C21" s="10" t="n">
        <v>16</v>
      </c>
      <c r="D21" s="13" t="n">
        <v>3.64</v>
      </c>
    </row>
    <row r="22" customFormat="false" ht="15" hidden="false" customHeight="false" outlineLevel="0" collapsed="false">
      <c r="A22" s="10" t="s">
        <v>34</v>
      </c>
      <c r="B22" s="10" t="n">
        <v>427</v>
      </c>
      <c r="C22" s="10" t="n">
        <v>15</v>
      </c>
      <c r="D22" s="13" t="n">
        <v>3.51</v>
      </c>
    </row>
    <row r="23" customFormat="false" ht="15" hidden="false" customHeight="false" outlineLevel="0" collapsed="false">
      <c r="A23" s="10" t="s">
        <v>35</v>
      </c>
      <c r="B23" s="10" t="n">
        <v>416</v>
      </c>
      <c r="C23" s="10" t="n">
        <v>18</v>
      </c>
      <c r="D23" s="13" t="n">
        <v>4.33</v>
      </c>
    </row>
    <row r="24" customFormat="false" ht="15" hidden="false" customHeight="false" outlineLevel="0" collapsed="false">
      <c r="A24" s="10" t="s">
        <v>36</v>
      </c>
      <c r="B24" s="10" t="n">
        <v>399</v>
      </c>
      <c r="C24" s="10" t="n">
        <v>13</v>
      </c>
      <c r="D24" s="13" t="n">
        <v>3.26</v>
      </c>
    </row>
    <row r="25" customFormat="false" ht="15" hidden="false" customHeight="false" outlineLevel="0" collapsed="false">
      <c r="A25" s="10" t="s">
        <v>37</v>
      </c>
      <c r="B25" s="10" t="n">
        <v>386</v>
      </c>
      <c r="C25" s="10" t="n">
        <v>9</v>
      </c>
      <c r="D25" s="13" t="n">
        <v>2.33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6"/>
  </cols>
  <sheetData>
    <row r="1" customFormat="false" ht="15" hidden="false" customHeight="false" outlineLevel="0" collapsed="false">
      <c r="A1" s="9" t="s">
        <v>41</v>
      </c>
      <c r="B1" s="9" t="s">
        <v>42</v>
      </c>
      <c r="C1" s="9" t="s">
        <v>43</v>
      </c>
      <c r="D1" s="9" t="s">
        <v>44</v>
      </c>
    </row>
    <row r="2" customFormat="false" ht="15" hidden="false" customHeight="false" outlineLevel="0" collapsed="false">
      <c r="A2" s="10" t="s">
        <v>45</v>
      </c>
      <c r="B2" s="10" t="n">
        <v>159</v>
      </c>
      <c r="C2" s="10" t="n">
        <v>133</v>
      </c>
      <c r="D2" s="14" t="n">
        <v>299</v>
      </c>
    </row>
    <row r="3" customFormat="false" ht="15" hidden="false" customHeight="false" outlineLevel="0" collapsed="false">
      <c r="A3" s="10" t="s">
        <v>46</v>
      </c>
      <c r="B3" s="10" t="n">
        <v>192</v>
      </c>
      <c r="C3" s="10" t="n">
        <v>124</v>
      </c>
      <c r="D3" s="14" t="n">
        <v>99</v>
      </c>
    </row>
    <row r="4" customFormat="false" ht="15" hidden="false" customHeight="false" outlineLevel="0" collapsed="false">
      <c r="A4" s="10" t="s">
        <v>47</v>
      </c>
      <c r="B4" s="10" t="n">
        <v>249</v>
      </c>
      <c r="C4" s="10" t="n">
        <v>120</v>
      </c>
      <c r="D4" s="14" t="n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</cols>
  <sheetData>
    <row r="1" customFormat="false" ht="15" hidden="false" customHeight="false" outlineLevel="0" collapsed="false">
      <c r="A1" s="9" t="s">
        <v>48</v>
      </c>
      <c r="B1" s="9" t="s">
        <v>49</v>
      </c>
    </row>
    <row r="2" customFormat="false" ht="15" hidden="false" customHeight="false" outlineLevel="0" collapsed="false">
      <c r="A2" s="10" t="s">
        <v>50</v>
      </c>
      <c r="B2" s="11" t="n">
        <v>175365</v>
      </c>
    </row>
    <row r="3" customFormat="false" ht="15" hidden="false" customHeight="false" outlineLevel="0" collapsed="false">
      <c r="A3" s="10" t="s">
        <v>51</v>
      </c>
      <c r="B3" s="11" t="n">
        <v>161129</v>
      </c>
    </row>
    <row r="4" customFormat="false" ht="15" hidden="false" customHeight="false" outlineLevel="0" collapsed="false">
      <c r="A4" s="10" t="s">
        <v>52</v>
      </c>
      <c r="B4" s="11" t="n">
        <v>158347</v>
      </c>
    </row>
    <row r="5" customFormat="false" ht="15" hidden="false" customHeight="false" outlineLevel="0" collapsed="false">
      <c r="A5" s="10" t="s">
        <v>53</v>
      </c>
      <c r="B5" s="11" t="n">
        <v>142760</v>
      </c>
    </row>
    <row r="6" customFormat="false" ht="15" hidden="false" customHeight="false" outlineLevel="0" collapsed="false">
      <c r="A6" s="10" t="s">
        <v>54</v>
      </c>
      <c r="B6" s="11" t="n">
        <v>136147</v>
      </c>
    </row>
    <row r="7" customFormat="false" ht="15" hidden="false" customHeight="false" outlineLevel="0" collapsed="false">
      <c r="A7" s="10" t="s">
        <v>55</v>
      </c>
      <c r="B7" s="11" t="n">
        <v>110934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6"/>
  </cols>
  <sheetData>
    <row r="1" customFormat="false" ht="15" hidden="false" customHeight="false" outlineLevel="0" collapsed="false">
      <c r="A1" s="9" t="s">
        <v>41</v>
      </c>
      <c r="B1" s="9" t="s">
        <v>56</v>
      </c>
      <c r="C1" s="9" t="s">
        <v>57</v>
      </c>
      <c r="D1" s="9" t="s">
        <v>58</v>
      </c>
      <c r="E1" s="9" t="s">
        <v>44</v>
      </c>
      <c r="F1" s="9" t="s">
        <v>59</v>
      </c>
    </row>
    <row r="2" customFormat="false" ht="15" hidden="false" customHeight="false" outlineLevel="0" collapsed="false">
      <c r="A2" s="10" t="s">
        <v>45</v>
      </c>
      <c r="B2" s="10" t="n">
        <v>159</v>
      </c>
      <c r="C2" s="10" t="n">
        <v>26</v>
      </c>
      <c r="D2" s="12" t="n">
        <v>0.163522012578616</v>
      </c>
      <c r="E2" s="14" t="n">
        <v>299</v>
      </c>
      <c r="F2" s="14" t="n">
        <v>1828.5</v>
      </c>
    </row>
    <row r="3" customFormat="false" ht="15" hidden="false" customHeight="false" outlineLevel="0" collapsed="false">
      <c r="A3" s="10" t="s">
        <v>46</v>
      </c>
      <c r="B3" s="10" t="n">
        <v>192</v>
      </c>
      <c r="C3" s="10" t="n">
        <v>68</v>
      </c>
      <c r="D3" s="12" t="n">
        <v>0.354166666666667</v>
      </c>
      <c r="E3" s="14" t="n">
        <v>99</v>
      </c>
      <c r="F3" s="14" t="n">
        <v>279.53</v>
      </c>
    </row>
    <row r="4" customFormat="false" ht="15" hidden="false" customHeight="false" outlineLevel="0" collapsed="false">
      <c r="A4" s="10" t="s">
        <v>47</v>
      </c>
      <c r="B4" s="10" t="n">
        <v>249</v>
      </c>
      <c r="C4" s="10" t="n">
        <v>129</v>
      </c>
      <c r="D4" s="12" t="n">
        <v>0.518072289156627</v>
      </c>
      <c r="E4" s="14" t="n">
        <v>29</v>
      </c>
      <c r="F4" s="14" t="n">
        <v>55.98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8"/>
  </cols>
  <sheetData>
    <row r="1" customFormat="false" ht="15" hidden="false" customHeight="false" outlineLevel="0" collapsed="false">
      <c r="A1" s="9" t="s">
        <v>60</v>
      </c>
      <c r="B1" s="9" t="s">
        <v>61</v>
      </c>
      <c r="C1" s="9" t="s">
        <v>41</v>
      </c>
      <c r="D1" s="9" t="s">
        <v>12</v>
      </c>
      <c r="E1" s="9" t="s">
        <v>62</v>
      </c>
      <c r="F1" s="9" t="s">
        <v>63</v>
      </c>
    </row>
    <row r="2" customFormat="false" ht="15" hidden="false" customHeight="false" outlineLevel="0" collapsed="false">
      <c r="A2" s="10" t="s">
        <v>64</v>
      </c>
      <c r="B2" s="10" t="s">
        <v>65</v>
      </c>
      <c r="C2" s="10" t="s">
        <v>46</v>
      </c>
      <c r="D2" s="11" t="n">
        <v>99</v>
      </c>
      <c r="E2" s="10" t="n">
        <v>2</v>
      </c>
      <c r="F2" s="10" t="n">
        <v>-11</v>
      </c>
    </row>
    <row r="3" customFormat="false" ht="15" hidden="false" customHeight="false" outlineLevel="0" collapsed="false">
      <c r="A3" s="10" t="s">
        <v>66</v>
      </c>
      <c r="B3" s="10" t="s">
        <v>67</v>
      </c>
      <c r="C3" s="10" t="s">
        <v>47</v>
      </c>
      <c r="D3" s="11" t="n">
        <v>29</v>
      </c>
      <c r="E3" s="10" t="n">
        <v>4</v>
      </c>
      <c r="F3" s="10" t="n">
        <v>-21</v>
      </c>
    </row>
    <row r="4" customFormat="false" ht="15" hidden="false" customHeight="false" outlineLevel="0" collapsed="false">
      <c r="A4" s="10" t="s">
        <v>68</v>
      </c>
      <c r="B4" s="10" t="s">
        <v>69</v>
      </c>
      <c r="C4" s="10" t="s">
        <v>47</v>
      </c>
      <c r="D4" s="11" t="n">
        <v>29</v>
      </c>
      <c r="E4" s="10" t="n">
        <v>2</v>
      </c>
      <c r="F4" s="10" t="n">
        <v>-9</v>
      </c>
    </row>
    <row r="5" customFormat="false" ht="15" hidden="false" customHeight="false" outlineLevel="0" collapsed="false">
      <c r="A5" s="10" t="s">
        <v>70</v>
      </c>
      <c r="B5" s="10" t="s">
        <v>71</v>
      </c>
      <c r="C5" s="10" t="s">
        <v>47</v>
      </c>
      <c r="D5" s="11" t="n">
        <v>29</v>
      </c>
      <c r="E5" s="10" t="n">
        <v>3</v>
      </c>
      <c r="F5" s="10" t="n">
        <v>-1</v>
      </c>
    </row>
    <row r="6" customFormat="false" ht="15" hidden="false" customHeight="false" outlineLevel="0" collapsed="false">
      <c r="A6" s="10" t="s">
        <v>72</v>
      </c>
      <c r="B6" s="10" t="s">
        <v>73</v>
      </c>
      <c r="C6" s="10" t="s">
        <v>47</v>
      </c>
      <c r="D6" s="11" t="n">
        <v>29</v>
      </c>
      <c r="E6" s="10" t="n">
        <v>3</v>
      </c>
      <c r="F6" s="10" t="n">
        <v>-5</v>
      </c>
    </row>
    <row r="7" customFormat="false" ht="15" hidden="false" customHeight="false" outlineLevel="0" collapsed="false">
      <c r="A7" s="10" t="s">
        <v>74</v>
      </c>
      <c r="B7" s="10" t="s">
        <v>75</v>
      </c>
      <c r="C7" s="10" t="s">
        <v>47</v>
      </c>
      <c r="D7" s="11" t="n">
        <v>29</v>
      </c>
      <c r="E7" s="10" t="n">
        <v>3</v>
      </c>
      <c r="F7" s="10" t="n">
        <v>-26</v>
      </c>
    </row>
    <row r="8" customFormat="false" ht="15" hidden="false" customHeight="false" outlineLevel="0" collapsed="false">
      <c r="A8" s="10" t="s">
        <v>76</v>
      </c>
      <c r="B8" s="10" t="s">
        <v>77</v>
      </c>
      <c r="C8" s="10" t="s">
        <v>47</v>
      </c>
      <c r="D8" s="11" t="n">
        <v>29</v>
      </c>
      <c r="E8" s="10" t="n">
        <v>3</v>
      </c>
      <c r="F8" s="10" t="n">
        <v>-5</v>
      </c>
    </row>
    <row r="9" customFormat="false" ht="15" hidden="false" customHeight="false" outlineLevel="0" collapsed="false">
      <c r="A9" s="10" t="s">
        <v>78</v>
      </c>
      <c r="B9" s="10" t="s">
        <v>79</v>
      </c>
      <c r="C9" s="10" t="s">
        <v>47</v>
      </c>
      <c r="D9" s="11" t="n">
        <v>29</v>
      </c>
      <c r="E9" s="10" t="n">
        <v>4</v>
      </c>
      <c r="F9" s="10" t="n">
        <v>-10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2026-09-23T04:15:47Z</dcterms:created>
  <dc:creator>openpyxl</dc:creator>
  <dc:description/>
  <dc:language>en-US</dc:language>
  <cp:lastModifiedBy/>
  <dcterms:modified xsi:type="dcterms:W3CDTF">2026-09-23T04:15:51Z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